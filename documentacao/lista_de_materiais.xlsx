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mauri\Artigos_2026\CBEB_2026\Anas_Alexia\Orcamento\"/>
    </mc:Choice>
  </mc:AlternateContent>
  <xr:revisionPtr revIDLastSave="0" documentId="13_ncr:1_{CECC76B8-7B84-4E32-9F9E-57B87FC783A4}" xr6:coauthVersionLast="47" xr6:coauthVersionMax="47" xr10:uidLastSave="{00000000-0000-0000-0000-000000000000}"/>
  <bookViews>
    <workbookView xWindow="-20610" yWindow="-75" windowWidth="20730" windowHeight="11310" xr2:uid="{B204FCBA-8D1A-43D5-AD2E-91A3FFB7676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8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G33" i="1" l="1"/>
</calcChain>
</file>

<file path=xl/sharedStrings.xml><?xml version="1.0" encoding="utf-8"?>
<sst xmlns="http://schemas.openxmlformats.org/spreadsheetml/2006/main" count="87" uniqueCount="44">
  <si>
    <t>Item</t>
  </si>
  <si>
    <t>FONTE 12V20A COLMEIA</t>
  </si>
  <si>
    <t>RL Eletrônica</t>
  </si>
  <si>
    <t>CNC SHIELD V3</t>
  </si>
  <si>
    <t>DISPLAY SHIELD 16 X 2 C/TECLADO</t>
  </si>
  <si>
    <t>CABINHO FLEXIVEL MT</t>
  </si>
  <si>
    <t>DRIVER PARA MOTOR DE PASSO DRV8825</t>
  </si>
  <si>
    <t>CABO JUMPER MACHOXMACHO-40VIAS</t>
  </si>
  <si>
    <t>CABO JUMPER MACHOXFÊMEA 40VIAS-20CM</t>
  </si>
  <si>
    <t>CABO JUMPER FÊMEAXFÊMEA 40VIAS-20CM</t>
  </si>
  <si>
    <t>ARDUINO MEGA 2560 R3-COMPATIVEL</t>
  </si>
  <si>
    <t>Un.</t>
  </si>
  <si>
    <t>m</t>
  </si>
  <si>
    <t>kit</t>
  </si>
  <si>
    <t>pcs</t>
  </si>
  <si>
    <t>pç</t>
  </si>
  <si>
    <t>CHAVE MICRO SWITCH MINI C/HASTE CURTA-18MM</t>
  </si>
  <si>
    <t>FILAMENTO DE IMPRESSORA 3D PETG</t>
  </si>
  <si>
    <t>KIT ESPAGUETE RETRATIL 10 PDÇS</t>
  </si>
  <si>
    <t>Total</t>
  </si>
  <si>
    <t>MOTOR DE PASSO NEMA 17</t>
  </si>
  <si>
    <t>Valor Total (R$)*</t>
  </si>
  <si>
    <t>PERFIL 20X20MM - V-SLOT - CANAL 6 - ANODIZADO FOSCO</t>
  </si>
  <si>
    <t>CANTONEIRA 20X20X17 EM ALUMINIO INJETADO</t>
  </si>
  <si>
    <t>CHAPAS CONEXAO INTERNA L 90O (8 PCS)</t>
  </si>
  <si>
    <t>FUSO TRAPEZOIDAL 781MM TR8X8MM 4 ENTRADAS</t>
  </si>
  <si>
    <t xml:space="preserve">EIXO LINEAR .9MM RETIFICADO </t>
  </si>
  <si>
    <t xml:space="preserve">PARAFUSO CABECA ABAULADA ALLEN M5 X8 - ZB (50 PCS) </t>
  </si>
  <si>
    <t xml:space="preserve">PORCA MARTELO - CANAL 6 M5 - 20 (50 PCS) </t>
  </si>
  <si>
    <t xml:space="preserve">PILLOW BLOCK FECHADO SC8UU (2 PCS) </t>
  </si>
  <si>
    <t xml:space="preserve">BLOCO COM ROSCA TR8X8 (1 PC) </t>
  </si>
  <si>
    <t xml:space="preserve">ACOPLAMENTO FLEXIVEL EM ALUMINIO 8X8MM (2PCS) </t>
  </si>
  <si>
    <t xml:space="preserve">MANCAL KP08 (2 PCS) </t>
  </si>
  <si>
    <t>SUPORTE EM ACO PARA NEMA 17</t>
  </si>
  <si>
    <t>kg</t>
  </si>
  <si>
    <t>Fornecedor</t>
  </si>
  <si>
    <t>Forseti Usinagem</t>
  </si>
  <si>
    <t>Material/componente</t>
  </si>
  <si>
    <t>Qtde.</t>
  </si>
  <si>
    <t>Valor Unit. (R$)</t>
  </si>
  <si>
    <t>*Valores referentes a outubro de 2025</t>
  </si>
  <si>
    <t>Bill of Materials (BOM) – 2D Ultrasonic Transducer Characterization System</t>
  </si>
  <si>
    <t>Lista de materiais (BOM) – Sistema de Caracterização 2D de Transdutores de Ultrassom</t>
  </si>
  <si>
    <t>Data de criação:   20/08/2026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</si>
</sst>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0"/>
      <color theme="1"/>
      <name val="Aptos Narrow"/>
      <family val="2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0E7A9-EFF6-4CE6-B1FC-CE3B3DE942BA}">
  <dimension ref="A2:G34"/>
  <sheetViews>
    <sheetView tabSelected="1" zoomScale="70" zoomScaleNormal="70" workbookViewId="0">
      <selection activeCell="J11" sqref="J11"/>
    </sheetView>
  </sheetViews>
  <sheetFormatPr defaultRowHeight="15" x14ac:dyDescent="0.25"/>
  <cols>
    <col min="1" max="1" width="7.42578125" customWidth="1"/>
    <col min="2" max="2" width="62.140625" bestFit="1" customWidth="1"/>
    <col min="3" max="3" width="8.140625" bestFit="1" customWidth="1"/>
    <col min="4" max="4" width="7.42578125" customWidth="1"/>
    <col min="5" max="5" width="19.7109375" customWidth="1"/>
    <col min="6" max="6" width="12.42578125" customWidth="1"/>
    <col min="7" max="7" width="14.85546875" customWidth="1"/>
    <col min="8" max="8" width="9" bestFit="1" customWidth="1"/>
    <col min="9" max="9" width="7.5703125" bestFit="1" customWidth="1"/>
  </cols>
  <sheetData>
    <row r="2" spans="1:7" ht="26.25" x14ac:dyDescent="0.4">
      <c r="A2" s="10" t="s">
        <v>42</v>
      </c>
    </row>
    <row r="3" spans="1:7" ht="26.25" x14ac:dyDescent="0.4">
      <c r="A3" s="10" t="s">
        <v>41</v>
      </c>
    </row>
    <row r="4" spans="1:7" x14ac:dyDescent="0.25">
      <c r="A4" s="11"/>
      <c r="B4" s="1"/>
      <c r="C4" s="1"/>
      <c r="D4" s="1"/>
      <c r="E4" s="1"/>
      <c r="F4" s="1"/>
      <c r="G4" s="1"/>
    </row>
    <row r="5" spans="1:7" ht="18" x14ac:dyDescent="0.25">
      <c r="A5" s="12" t="s">
        <v>43</v>
      </c>
      <c r="B5" s="1"/>
      <c r="C5" s="1"/>
      <c r="D5" s="1"/>
      <c r="E5" s="1"/>
      <c r="F5" s="1"/>
      <c r="G5" s="1"/>
    </row>
    <row r="6" spans="1:7" ht="15" customHeight="1" x14ac:dyDescent="0.25">
      <c r="A6" s="1"/>
      <c r="B6" s="1"/>
      <c r="C6" s="1"/>
      <c r="D6" s="1"/>
      <c r="E6" s="1"/>
      <c r="F6" s="1"/>
      <c r="G6" s="1"/>
    </row>
    <row r="7" spans="1:7" ht="30.75" customHeight="1" x14ac:dyDescent="0.25">
      <c r="A7" s="2" t="s">
        <v>0</v>
      </c>
      <c r="B7" s="2" t="s">
        <v>37</v>
      </c>
      <c r="C7" s="3" t="s">
        <v>38</v>
      </c>
      <c r="D7" s="3" t="s">
        <v>11</v>
      </c>
      <c r="E7" s="3" t="s">
        <v>35</v>
      </c>
      <c r="F7" s="3" t="s">
        <v>39</v>
      </c>
      <c r="G7" s="3" t="s">
        <v>21</v>
      </c>
    </row>
    <row r="8" spans="1:7" x14ac:dyDescent="0.25">
      <c r="A8" s="4">
        <v>1</v>
      </c>
      <c r="B8" s="4" t="s">
        <v>22</v>
      </c>
      <c r="C8" s="5">
        <v>6.28</v>
      </c>
      <c r="D8" s="5" t="s">
        <v>12</v>
      </c>
      <c r="E8" s="5" t="s">
        <v>36</v>
      </c>
      <c r="F8" s="6">
        <v>39.909999999999997</v>
      </c>
      <c r="G8" s="6">
        <f t="shared" ref="G8:G32" si="0">C8*F8</f>
        <v>250.63479999999998</v>
      </c>
    </row>
    <row r="9" spans="1:7" x14ac:dyDescent="0.25">
      <c r="A9" s="5">
        <f t="shared" ref="A9:A32" si="1">A8+1</f>
        <v>2</v>
      </c>
      <c r="B9" s="5" t="s">
        <v>23</v>
      </c>
      <c r="C9" s="5">
        <v>5</v>
      </c>
      <c r="D9" s="5" t="s">
        <v>13</v>
      </c>
      <c r="E9" s="5" t="s">
        <v>36</v>
      </c>
      <c r="F9" s="6">
        <v>12.19</v>
      </c>
      <c r="G9" s="6">
        <f t="shared" si="0"/>
        <v>60.949999999999996</v>
      </c>
    </row>
    <row r="10" spans="1:7" x14ac:dyDescent="0.25">
      <c r="A10" s="5">
        <f t="shared" si="1"/>
        <v>3</v>
      </c>
      <c r="B10" s="5" t="s">
        <v>24</v>
      </c>
      <c r="C10" s="5">
        <v>1</v>
      </c>
      <c r="D10" s="5" t="s">
        <v>13</v>
      </c>
      <c r="E10" s="5" t="s">
        <v>36</v>
      </c>
      <c r="F10" s="6">
        <v>22.73</v>
      </c>
      <c r="G10" s="6">
        <f t="shared" si="0"/>
        <v>22.73</v>
      </c>
    </row>
    <row r="11" spans="1:7" x14ac:dyDescent="0.25">
      <c r="A11" s="5">
        <f t="shared" si="1"/>
        <v>4</v>
      </c>
      <c r="B11" s="5" t="s">
        <v>25</v>
      </c>
      <c r="C11" s="5">
        <v>1</v>
      </c>
      <c r="D11" s="5" t="s">
        <v>14</v>
      </c>
      <c r="E11" s="5" t="s">
        <v>36</v>
      </c>
      <c r="F11" s="6">
        <v>97.57</v>
      </c>
      <c r="G11" s="6">
        <f t="shared" si="0"/>
        <v>97.57</v>
      </c>
    </row>
    <row r="12" spans="1:7" x14ac:dyDescent="0.25">
      <c r="A12" s="5">
        <f t="shared" si="1"/>
        <v>5</v>
      </c>
      <c r="B12" s="5" t="s">
        <v>26</v>
      </c>
      <c r="C12" s="5">
        <v>2</v>
      </c>
      <c r="D12" s="5" t="s">
        <v>15</v>
      </c>
      <c r="E12" s="5" t="s">
        <v>36</v>
      </c>
      <c r="F12" s="6">
        <v>96.46</v>
      </c>
      <c r="G12" s="6">
        <f t="shared" si="0"/>
        <v>192.92</v>
      </c>
    </row>
    <row r="13" spans="1:7" x14ac:dyDescent="0.25">
      <c r="A13" s="5">
        <f t="shared" si="1"/>
        <v>6</v>
      </c>
      <c r="B13" s="5" t="s">
        <v>27</v>
      </c>
      <c r="C13" s="5">
        <v>1</v>
      </c>
      <c r="D13" s="5" t="s">
        <v>13</v>
      </c>
      <c r="E13" s="5" t="s">
        <v>36</v>
      </c>
      <c r="F13" s="6">
        <v>37.42</v>
      </c>
      <c r="G13" s="6">
        <f t="shared" si="0"/>
        <v>37.42</v>
      </c>
    </row>
    <row r="14" spans="1:7" x14ac:dyDescent="0.25">
      <c r="A14" s="5">
        <f t="shared" si="1"/>
        <v>7</v>
      </c>
      <c r="B14" s="5" t="s">
        <v>28</v>
      </c>
      <c r="C14" s="5">
        <v>1</v>
      </c>
      <c r="D14" s="5" t="s">
        <v>13</v>
      </c>
      <c r="E14" s="5" t="s">
        <v>36</v>
      </c>
      <c r="F14" s="6">
        <v>57.25</v>
      </c>
      <c r="G14" s="6">
        <f t="shared" si="0"/>
        <v>57.25</v>
      </c>
    </row>
    <row r="15" spans="1:7" x14ac:dyDescent="0.25">
      <c r="A15" s="5">
        <f t="shared" si="1"/>
        <v>8</v>
      </c>
      <c r="B15" s="5" t="s">
        <v>20</v>
      </c>
      <c r="C15" s="5">
        <v>2</v>
      </c>
      <c r="D15" s="5" t="s">
        <v>14</v>
      </c>
      <c r="E15" s="5" t="s">
        <v>36</v>
      </c>
      <c r="F15" s="6">
        <v>109.77</v>
      </c>
      <c r="G15" s="6">
        <f t="shared" si="0"/>
        <v>219.54</v>
      </c>
    </row>
    <row r="16" spans="1:7" x14ac:dyDescent="0.25">
      <c r="A16" s="5">
        <f t="shared" si="1"/>
        <v>9</v>
      </c>
      <c r="B16" s="5" t="s">
        <v>29</v>
      </c>
      <c r="C16" s="5">
        <v>4</v>
      </c>
      <c r="D16" s="5" t="s">
        <v>13</v>
      </c>
      <c r="E16" s="5" t="s">
        <v>36</v>
      </c>
      <c r="F16" s="6">
        <v>24.94</v>
      </c>
      <c r="G16" s="6">
        <f t="shared" si="0"/>
        <v>99.76</v>
      </c>
    </row>
    <row r="17" spans="1:7" x14ac:dyDescent="0.25">
      <c r="A17" s="5">
        <f t="shared" si="1"/>
        <v>10</v>
      </c>
      <c r="B17" s="5" t="s">
        <v>30</v>
      </c>
      <c r="C17" s="5">
        <v>4</v>
      </c>
      <c r="D17" s="5" t="s">
        <v>14</v>
      </c>
      <c r="E17" s="5" t="s">
        <v>36</v>
      </c>
      <c r="F17" s="6">
        <v>25</v>
      </c>
      <c r="G17" s="6">
        <f t="shared" si="0"/>
        <v>100</v>
      </c>
    </row>
    <row r="18" spans="1:7" x14ac:dyDescent="0.25">
      <c r="A18" s="5">
        <f t="shared" si="1"/>
        <v>11</v>
      </c>
      <c r="B18" s="5" t="s">
        <v>31</v>
      </c>
      <c r="C18" s="5">
        <v>2</v>
      </c>
      <c r="D18" s="5" t="s">
        <v>13</v>
      </c>
      <c r="E18" s="5" t="s">
        <v>36</v>
      </c>
      <c r="F18" s="6">
        <v>38.799999999999997</v>
      </c>
      <c r="G18" s="6">
        <f t="shared" si="0"/>
        <v>77.599999999999994</v>
      </c>
    </row>
    <row r="19" spans="1:7" x14ac:dyDescent="0.25">
      <c r="A19" s="5">
        <f t="shared" si="1"/>
        <v>12</v>
      </c>
      <c r="B19" s="5" t="s">
        <v>32</v>
      </c>
      <c r="C19" s="5">
        <v>10</v>
      </c>
      <c r="D19" s="5" t="s">
        <v>13</v>
      </c>
      <c r="E19" s="5" t="s">
        <v>36</v>
      </c>
      <c r="F19" s="6">
        <v>26.83</v>
      </c>
      <c r="G19" s="6">
        <f t="shared" si="0"/>
        <v>268.29999999999995</v>
      </c>
    </row>
    <row r="20" spans="1:7" x14ac:dyDescent="0.25">
      <c r="A20" s="5">
        <f t="shared" si="1"/>
        <v>13</v>
      </c>
      <c r="B20" s="5" t="s">
        <v>33</v>
      </c>
      <c r="C20" s="5">
        <v>2</v>
      </c>
      <c r="D20" s="5" t="s">
        <v>14</v>
      </c>
      <c r="E20" s="5" t="s">
        <v>36</v>
      </c>
      <c r="F20" s="6">
        <v>19.399999999999999</v>
      </c>
      <c r="G20" s="6">
        <f t="shared" si="0"/>
        <v>38.799999999999997</v>
      </c>
    </row>
    <row r="21" spans="1:7" x14ac:dyDescent="0.25">
      <c r="A21" s="5">
        <f t="shared" si="1"/>
        <v>14</v>
      </c>
      <c r="B21" s="5" t="s">
        <v>1</v>
      </c>
      <c r="C21" s="5">
        <v>1</v>
      </c>
      <c r="D21" s="5" t="s">
        <v>14</v>
      </c>
      <c r="E21" s="5" t="s">
        <v>2</v>
      </c>
      <c r="F21" s="6">
        <v>89</v>
      </c>
      <c r="G21" s="6">
        <f t="shared" si="0"/>
        <v>89</v>
      </c>
    </row>
    <row r="22" spans="1:7" x14ac:dyDescent="0.25">
      <c r="A22" s="5">
        <f t="shared" si="1"/>
        <v>15</v>
      </c>
      <c r="B22" s="5" t="s">
        <v>10</v>
      </c>
      <c r="C22" s="5">
        <v>1</v>
      </c>
      <c r="D22" s="5" t="s">
        <v>14</v>
      </c>
      <c r="E22" s="5" t="s">
        <v>2</v>
      </c>
      <c r="F22" s="6">
        <v>151</v>
      </c>
      <c r="G22" s="6">
        <f t="shared" si="0"/>
        <v>151</v>
      </c>
    </row>
    <row r="23" spans="1:7" x14ac:dyDescent="0.25">
      <c r="A23" s="5">
        <f t="shared" si="1"/>
        <v>16</v>
      </c>
      <c r="B23" s="5" t="s">
        <v>9</v>
      </c>
      <c r="C23" s="5">
        <v>1</v>
      </c>
      <c r="D23" s="5" t="s">
        <v>14</v>
      </c>
      <c r="E23" s="5" t="s">
        <v>2</v>
      </c>
      <c r="F23" s="6">
        <v>7.1</v>
      </c>
      <c r="G23" s="6">
        <f t="shared" si="0"/>
        <v>7.1</v>
      </c>
    </row>
    <row r="24" spans="1:7" x14ac:dyDescent="0.25">
      <c r="A24" s="5">
        <f t="shared" si="1"/>
        <v>17</v>
      </c>
      <c r="B24" s="5" t="s">
        <v>8</v>
      </c>
      <c r="C24" s="5">
        <v>1</v>
      </c>
      <c r="D24" s="5" t="s">
        <v>14</v>
      </c>
      <c r="E24" s="5" t="s">
        <v>2</v>
      </c>
      <c r="F24" s="6">
        <v>7.1</v>
      </c>
      <c r="G24" s="6">
        <f t="shared" si="0"/>
        <v>7.1</v>
      </c>
    </row>
    <row r="25" spans="1:7" x14ac:dyDescent="0.25">
      <c r="A25" s="5">
        <f t="shared" si="1"/>
        <v>18</v>
      </c>
      <c r="B25" s="5" t="s">
        <v>7</v>
      </c>
      <c r="C25" s="5">
        <v>1</v>
      </c>
      <c r="D25" s="5" t="s">
        <v>14</v>
      </c>
      <c r="E25" s="5" t="s">
        <v>2</v>
      </c>
      <c r="F25" s="6">
        <v>7.2</v>
      </c>
      <c r="G25" s="6">
        <f t="shared" si="0"/>
        <v>7.2</v>
      </c>
    </row>
    <row r="26" spans="1:7" x14ac:dyDescent="0.25">
      <c r="A26" s="5">
        <f t="shared" si="1"/>
        <v>19</v>
      </c>
      <c r="B26" s="5" t="s">
        <v>3</v>
      </c>
      <c r="C26" s="5">
        <v>2</v>
      </c>
      <c r="D26" s="5" t="s">
        <v>14</v>
      </c>
      <c r="E26" s="5" t="s">
        <v>2</v>
      </c>
      <c r="F26" s="6">
        <v>41</v>
      </c>
      <c r="G26" s="6">
        <f t="shared" si="0"/>
        <v>82</v>
      </c>
    </row>
    <row r="27" spans="1:7" x14ac:dyDescent="0.25">
      <c r="A27" s="5">
        <f t="shared" si="1"/>
        <v>20</v>
      </c>
      <c r="B27" s="5" t="s">
        <v>6</v>
      </c>
      <c r="C27" s="5">
        <v>2</v>
      </c>
      <c r="D27" s="5" t="s">
        <v>14</v>
      </c>
      <c r="E27" s="5" t="s">
        <v>2</v>
      </c>
      <c r="F27" s="6">
        <v>15</v>
      </c>
      <c r="G27" s="6">
        <f t="shared" si="0"/>
        <v>30</v>
      </c>
    </row>
    <row r="28" spans="1:7" x14ac:dyDescent="0.25">
      <c r="A28" s="5">
        <f t="shared" si="1"/>
        <v>21</v>
      </c>
      <c r="B28" s="5" t="s">
        <v>4</v>
      </c>
      <c r="C28" s="5">
        <v>1</v>
      </c>
      <c r="D28" s="5" t="s">
        <v>14</v>
      </c>
      <c r="E28" s="5" t="s">
        <v>2</v>
      </c>
      <c r="F28" s="6">
        <v>30</v>
      </c>
      <c r="G28" s="6">
        <f t="shared" si="0"/>
        <v>30</v>
      </c>
    </row>
    <row r="29" spans="1:7" x14ac:dyDescent="0.25">
      <c r="A29" s="5">
        <f t="shared" si="1"/>
        <v>22</v>
      </c>
      <c r="B29" s="5" t="s">
        <v>5</v>
      </c>
      <c r="C29" s="5">
        <v>30</v>
      </c>
      <c r="D29" s="5" t="s">
        <v>12</v>
      </c>
      <c r="E29" s="5" t="s">
        <v>2</v>
      </c>
      <c r="F29" s="6">
        <v>1.2</v>
      </c>
      <c r="G29" s="6">
        <f t="shared" si="0"/>
        <v>36</v>
      </c>
    </row>
    <row r="30" spans="1:7" x14ac:dyDescent="0.25">
      <c r="A30" s="5">
        <f t="shared" si="1"/>
        <v>23</v>
      </c>
      <c r="B30" s="5" t="s">
        <v>16</v>
      </c>
      <c r="C30" s="5">
        <v>4</v>
      </c>
      <c r="D30" s="5" t="s">
        <v>14</v>
      </c>
      <c r="E30" s="5" t="s">
        <v>2</v>
      </c>
      <c r="F30" s="6">
        <v>6.1</v>
      </c>
      <c r="G30" s="6">
        <f t="shared" si="0"/>
        <v>24.4</v>
      </c>
    </row>
    <row r="31" spans="1:7" x14ac:dyDescent="0.25">
      <c r="A31" s="5">
        <f t="shared" si="1"/>
        <v>24</v>
      </c>
      <c r="B31" s="5" t="s">
        <v>17</v>
      </c>
      <c r="C31" s="5">
        <v>1</v>
      </c>
      <c r="D31" s="5" t="s">
        <v>34</v>
      </c>
      <c r="E31" s="5" t="s">
        <v>2</v>
      </c>
      <c r="F31" s="6">
        <v>106</v>
      </c>
      <c r="G31" s="6">
        <f t="shared" si="0"/>
        <v>106</v>
      </c>
    </row>
    <row r="32" spans="1:7" x14ac:dyDescent="0.25">
      <c r="A32" s="7">
        <f t="shared" si="1"/>
        <v>25</v>
      </c>
      <c r="B32" s="7" t="s">
        <v>18</v>
      </c>
      <c r="C32" s="7">
        <v>1</v>
      </c>
      <c r="D32" s="5" t="s">
        <v>14</v>
      </c>
      <c r="E32" s="5" t="s">
        <v>2</v>
      </c>
      <c r="F32" s="8">
        <v>19</v>
      </c>
      <c r="G32" s="8">
        <f t="shared" si="0"/>
        <v>19</v>
      </c>
    </row>
    <row r="33" spans="1:7" x14ac:dyDescent="0.25">
      <c r="A33" s="13" t="s">
        <v>19</v>
      </c>
      <c r="B33" s="13"/>
      <c r="C33" s="13"/>
      <c r="D33" s="13"/>
      <c r="E33" s="13"/>
      <c r="F33" s="13"/>
      <c r="G33" s="9">
        <f>SUM(G8:G32)</f>
        <v>2112.2747999999997</v>
      </c>
    </row>
    <row r="34" spans="1:7" ht="24" customHeight="1" x14ac:dyDescent="0.25">
      <c r="A34" s="1" t="s">
        <v>40</v>
      </c>
      <c r="B34" s="1"/>
      <c r="C34" s="1"/>
      <c r="D34" s="1"/>
      <c r="E34" s="1"/>
      <c r="F34" s="1"/>
      <c r="G34" s="1"/>
    </row>
  </sheetData>
  <mergeCells count="1">
    <mergeCell ref="A33:F33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Amauri Amorin Assef</dc:creator>
  <cp:lastModifiedBy>Amauri Amorin Assef</cp:lastModifiedBy>
  <cp:lastPrinted>2026-08-21T01:35:08Z</cp:lastPrinted>
  <dcterms:created xsi:type="dcterms:W3CDTF">2026-08-21T00:40:31Z</dcterms:created>
  <dcterms:modified xsi:type="dcterms:W3CDTF">2026-08-21T01:35:29Z</dcterms:modified>
</cp:coreProperties>
</file>